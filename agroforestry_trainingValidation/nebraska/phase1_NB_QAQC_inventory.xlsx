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c830877559_colostate_edu/Documents/Documents/Agroforestry_OneDrive/"/>
    </mc:Choice>
  </mc:AlternateContent>
  <xr:revisionPtr revIDLastSave="1507" documentId="8_{9DFD3385-2AA9-425D-AD90-81923B135C85}" xr6:coauthVersionLast="47" xr6:coauthVersionMax="47" xr10:uidLastSave="{A48C56FD-1875-4C70-8793-4473B71C29C2}"/>
  <bookViews>
    <workbookView xWindow="2955" yWindow="0" windowWidth="18900" windowHeight="10965" firstSheet="2" activeTab="2" xr2:uid="{00000000-000D-0000-FFFF-FFFF00000000}"/>
  </bookViews>
  <sheets>
    <sheet name="2010" sheetId="8" r:id="rId1"/>
    <sheet name="2016" sheetId="9" r:id="rId2"/>
    <sheet name="2020" sheetId="10" r:id="rId3"/>
    <sheet name="Quality_Score_Inventory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E8" i="5"/>
  <c r="D8" i="5"/>
  <c r="G5" i="5"/>
  <c r="G6" i="5"/>
  <c r="D10" i="5" l="1"/>
  <c r="G8" i="5"/>
  <c r="D13" i="5" l="1"/>
  <c r="D11" i="5"/>
  <c r="D12" i="5"/>
</calcChain>
</file>

<file path=xl/sharedStrings.xml><?xml version="1.0" encoding="utf-8"?>
<sst xmlns="http://schemas.openxmlformats.org/spreadsheetml/2006/main" count="294" uniqueCount="153">
  <si>
    <t>File_name</t>
  </si>
  <si>
    <t>Maingrid</t>
  </si>
  <si>
    <t>Subgrid_ref_grid_ID</t>
  </si>
  <si>
    <t>Quality_score</t>
  </si>
  <si>
    <t>Quality_notes</t>
  </si>
  <si>
    <t>TP</t>
  </si>
  <si>
    <t>FP</t>
  </si>
  <si>
    <t>TN</t>
  </si>
  <si>
    <t>FN</t>
  </si>
  <si>
    <t>PPR</t>
  </si>
  <si>
    <t>NPR</t>
  </si>
  <si>
    <t>X12-115_1200</t>
  </si>
  <si>
    <t>X12-115</t>
  </si>
  <si>
    <t>Corrected from 4 to 5</t>
  </si>
  <si>
    <t>X12-115_2403</t>
  </si>
  <si>
    <t>X12-131_2572</t>
  </si>
  <si>
    <t>X12-131</t>
  </si>
  <si>
    <t>Corrected from 3 to 5</t>
  </si>
  <si>
    <t>X12-131_4369</t>
  </si>
  <si>
    <t>X12-150_13860</t>
  </si>
  <si>
    <t>X12-150</t>
  </si>
  <si>
    <t>X12-183_4454</t>
  </si>
  <si>
    <t>X12-183</t>
  </si>
  <si>
    <t>X12-183_12000</t>
  </si>
  <si>
    <t>X12-207_2510</t>
  </si>
  <si>
    <t>X12-207</t>
  </si>
  <si>
    <t>X12-207_4330</t>
  </si>
  <si>
    <t>X12-278_16513</t>
  </si>
  <si>
    <t>X12-278</t>
  </si>
  <si>
    <t>X12-278_19547</t>
  </si>
  <si>
    <t>X12-281_17182</t>
  </si>
  <si>
    <t>X12-281</t>
  </si>
  <si>
    <t>X12-307_6465</t>
  </si>
  <si>
    <t>X12-307</t>
  </si>
  <si>
    <t>X12-318_12560</t>
  </si>
  <si>
    <t>X12-318</t>
  </si>
  <si>
    <t>X12-356_22744</t>
  </si>
  <si>
    <t>X12-356</t>
  </si>
  <si>
    <t>X12-356_23045</t>
  </si>
  <si>
    <t>Corrected from 1 to 5. No trees on grid, only false positives. One is marked as a tree, but was corrected to false negative. I believe Gavin selected a replacement grid for this one but I haven't seen which one. Still useful for u-net analysis.</t>
  </si>
  <si>
    <t>X12-361_19173</t>
  </si>
  <si>
    <t>X12-361</t>
  </si>
  <si>
    <t>X12-388_16617</t>
  </si>
  <si>
    <t>X12-388</t>
  </si>
  <si>
    <t>X12-388_10880</t>
  </si>
  <si>
    <t>Corrected from 1 to 5. Only has false positives, no trees, still useful for u-net analysis.</t>
  </si>
  <si>
    <t>X12-440_24517</t>
  </si>
  <si>
    <t>X12-440</t>
  </si>
  <si>
    <t>X12-519_25329</t>
  </si>
  <si>
    <t>X12-519</t>
  </si>
  <si>
    <t>X12-594_30351</t>
  </si>
  <si>
    <t>X12-594</t>
  </si>
  <si>
    <t>X12-602_27702</t>
  </si>
  <si>
    <t>X12-602</t>
  </si>
  <si>
    <t>X12-602_29209</t>
  </si>
  <si>
    <t>X12-615_23888</t>
  </si>
  <si>
    <t>X12-615</t>
  </si>
  <si>
    <t>X12-615_27785</t>
  </si>
  <si>
    <t>Corrected from 1 to 5. No trees, no false negatives or false positives, still useful for U-net analysis.</t>
  </si>
  <si>
    <t>X12-624_26060</t>
  </si>
  <si>
    <t>X12-624</t>
  </si>
  <si>
    <t>Few trees</t>
  </si>
  <si>
    <t>X12-624_29389</t>
  </si>
  <si>
    <t>X12-642_23457</t>
  </si>
  <si>
    <t>X12-642</t>
  </si>
  <si>
    <t>X12-642_24936</t>
  </si>
  <si>
    <t>X12-677_25495</t>
  </si>
  <si>
    <t>X12-677</t>
  </si>
  <si>
    <t>X12-677_27018</t>
  </si>
  <si>
    <t>X12-83_93</t>
  </si>
  <si>
    <t>X12-83</t>
  </si>
  <si>
    <t>X12-83_402</t>
  </si>
  <si>
    <t>Corrected from 4 to 5, few trees</t>
  </si>
  <si>
    <t>X12-91_2233</t>
  </si>
  <si>
    <t>X12-91</t>
  </si>
  <si>
    <t>X12-91_5253</t>
  </si>
  <si>
    <t>X12-99_4707</t>
  </si>
  <si>
    <t>X12-99</t>
  </si>
  <si>
    <t>X12-99_5313</t>
  </si>
  <si>
    <t>X12-91_1328</t>
  </si>
  <si>
    <t>X12-83_2211</t>
  </si>
  <si>
    <t>X12-150_4211</t>
  </si>
  <si>
    <t>X12-150_6621</t>
  </si>
  <si>
    <t>X12-278_6847</t>
  </si>
  <si>
    <t>One small cropland patch should be false negative. Small corrections made</t>
  </si>
  <si>
    <t>X12-356_12781</t>
  </si>
  <si>
    <t>X12-300_13638</t>
  </si>
  <si>
    <t>X12-300</t>
  </si>
  <si>
    <t>X12-356_16121</t>
  </si>
  <si>
    <t>Needed to switch black layer down below green</t>
  </si>
  <si>
    <t>X12-594_17395</t>
  </si>
  <si>
    <t>X12-361_19763</t>
  </si>
  <si>
    <t>X12-677_24297</t>
  </si>
  <si>
    <t>X12-594_24628</t>
  </si>
  <si>
    <t>X12-677_25518</t>
  </si>
  <si>
    <t>X12-709_26610</t>
  </si>
  <si>
    <t>X12-709</t>
  </si>
  <si>
    <t>X12-519_28032</t>
  </si>
  <si>
    <t>X12-661_30210</t>
  </si>
  <si>
    <t>X12-661</t>
  </si>
  <si>
    <t>X12-661_30823</t>
  </si>
  <si>
    <t>X12-624_30590</t>
  </si>
  <si>
    <t>Corrected from 2 to 5. Gradient of pixel colors at transitions of orginal validation</t>
  </si>
  <si>
    <t>X12-115_1203</t>
  </si>
  <si>
    <t>Corrected from 4 to 5. Neon purple border</t>
  </si>
  <si>
    <t>Corrected from 4 to 5. Neon purple border, grid offset on axis</t>
  </si>
  <si>
    <t>X12-83_5238</t>
  </si>
  <si>
    <t xml:space="preserve">Corrected from 3 to 5. Neon purple border and grid offset on axis. </t>
  </si>
  <si>
    <t>X12-307_5551</t>
  </si>
  <si>
    <t>Corrected from 3 to 5. Neon purple border, grid offset on axis. Added as a extra on 11/5/25</t>
  </si>
  <si>
    <t>X12-32_8690</t>
  </si>
  <si>
    <t>X12-32</t>
  </si>
  <si>
    <t xml:space="preserve">Corrected from 3 to 5. Neon purple border, grid offset on axis. </t>
  </si>
  <si>
    <t>X12-356_9472</t>
  </si>
  <si>
    <t>X12-150_10508</t>
  </si>
  <si>
    <t>X12-300_10625</t>
  </si>
  <si>
    <t>X12-300_10628</t>
  </si>
  <si>
    <t>X12-150_12632</t>
  </si>
  <si>
    <t xml:space="preserve">Corrected from 3 to 5. Neon purple border, and grid offeset on axis. </t>
  </si>
  <si>
    <t>X12-388_13638</t>
  </si>
  <si>
    <t>X12-207_13978</t>
  </si>
  <si>
    <t>X12-318_14994</t>
  </si>
  <si>
    <t>X12-207_15478</t>
  </si>
  <si>
    <t>X12-361_16160</t>
  </si>
  <si>
    <t>X12-361_17663</t>
  </si>
  <si>
    <t>X12-318_17692</t>
  </si>
  <si>
    <t>X12-307_20323</t>
  </si>
  <si>
    <t>X12-615_24161</t>
  </si>
  <si>
    <t xml:space="preserve">Changed from 1 to 5. No trees, only false positives. Appear to be same size even though black validation grid has a gradient from black to grey along some pixels with the neon purple border. Still valuable for U-net. </t>
  </si>
  <si>
    <t>X12-602_24675</t>
  </si>
  <si>
    <t>X12-709_29356</t>
  </si>
  <si>
    <t>X12-642_30081</t>
  </si>
  <si>
    <t>Score_value</t>
  </si>
  <si>
    <t>Score_name</t>
  </si>
  <si>
    <t>Score_description</t>
  </si>
  <si>
    <t>Total</t>
  </si>
  <si>
    <t>Very poor quality</t>
  </si>
  <si>
    <t>False positives and negatives need substantial corrections across the map, 4-6 hours, or there are no trees on the grid</t>
  </si>
  <si>
    <t>Poor quality</t>
  </si>
  <si>
    <t>False positive and negatives need considerable corrections across the map, 3-5 hours</t>
  </si>
  <si>
    <t>Medium quality</t>
  </si>
  <si>
    <t>False positives and negatives have several areas that would need touching up, 1-3 hours</t>
  </si>
  <si>
    <t>Good quality</t>
  </si>
  <si>
    <t>False positives and negatives have just a few minor areas that could use touching up, about 1 hour</t>
  </si>
  <si>
    <t>Excellent quality</t>
  </si>
  <si>
    <t xml:space="preserve">False positives and negatives have no visable areas needing touch ups </t>
  </si>
  <si>
    <t>NA</t>
  </si>
  <si>
    <t>Missing subgrid</t>
  </si>
  <si>
    <t>Totals</t>
  </si>
  <si>
    <t>Percentage of good (4,5):</t>
  </si>
  <si>
    <t>Percentage of not good (3,2,1):</t>
  </si>
  <si>
    <t>Percentage of excellent (5):</t>
  </si>
  <si>
    <t>Percentage of grids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</si>
</sst>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623F-246C-4C3A-8A41-429D4DB803D8}">
  <dimension ref="A1:L39"/>
  <sheetViews>
    <sheetView workbookViewId="0">
      <selection activeCell="B1" sqref="B1:C1"/>
    </sheetView>
  </sheetViews>
  <sheetFormatPr defaultRowHeight="15"/>
  <cols>
    <col min="1" max="1" width="15.140625" customWidth="1"/>
    <col min="2" max="2" width="9.85546875" customWidth="1"/>
    <col min="3" max="3" width="18" customWidth="1"/>
    <col min="4" max="4" width="13.140625" customWidth="1"/>
    <col min="5" max="5" width="20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s="2" t="s">
        <v>11</v>
      </c>
      <c r="B2" s="2" t="s">
        <v>12</v>
      </c>
      <c r="C2" s="2">
        <v>1200</v>
      </c>
      <c r="D2" s="2">
        <v>5</v>
      </c>
      <c r="E2" s="2" t="s">
        <v>13</v>
      </c>
      <c r="F2" s="2"/>
      <c r="G2" s="2"/>
      <c r="H2" s="2"/>
      <c r="I2" s="2"/>
      <c r="J2" s="2"/>
      <c r="K2" s="2"/>
    </row>
    <row r="3" spans="1:12">
      <c r="A3" s="2" t="s">
        <v>14</v>
      </c>
      <c r="B3" s="2" t="s">
        <v>12</v>
      </c>
      <c r="C3" s="2">
        <v>2403</v>
      </c>
      <c r="D3" s="2">
        <v>5</v>
      </c>
      <c r="E3" s="2"/>
      <c r="F3" s="2"/>
      <c r="G3" s="2"/>
      <c r="H3" s="2"/>
      <c r="I3" s="2"/>
      <c r="J3" s="2"/>
      <c r="K3" s="2"/>
    </row>
    <row r="4" spans="1:12">
      <c r="A4" s="2" t="s">
        <v>15</v>
      </c>
      <c r="B4" s="2" t="s">
        <v>16</v>
      </c>
      <c r="C4">
        <v>2572</v>
      </c>
      <c r="D4" s="2">
        <v>5</v>
      </c>
      <c r="E4" s="2" t="s">
        <v>17</v>
      </c>
      <c r="F4" s="2"/>
      <c r="G4" s="2"/>
    </row>
    <row r="5" spans="1:12">
      <c r="A5" s="2" t="s">
        <v>18</v>
      </c>
      <c r="B5" s="2" t="s">
        <v>16</v>
      </c>
      <c r="C5" s="2">
        <v>4369</v>
      </c>
      <c r="D5" s="2">
        <v>5</v>
      </c>
      <c r="E5" s="2" t="s">
        <v>13</v>
      </c>
      <c r="F5" s="2"/>
      <c r="G5" s="2"/>
      <c r="H5" s="2"/>
      <c r="I5" s="2"/>
      <c r="J5" s="2"/>
      <c r="K5" s="2"/>
    </row>
    <row r="6" spans="1:12">
      <c r="A6" s="2" t="s">
        <v>19</v>
      </c>
      <c r="B6" s="2" t="s">
        <v>20</v>
      </c>
      <c r="C6" s="2">
        <v>13860</v>
      </c>
      <c r="D6" s="2">
        <v>5</v>
      </c>
      <c r="E6" s="2" t="s">
        <v>13</v>
      </c>
      <c r="F6" s="2"/>
      <c r="G6" s="2"/>
      <c r="H6" s="2"/>
      <c r="I6" s="2"/>
      <c r="J6" s="2"/>
      <c r="K6" s="2"/>
    </row>
    <row r="7" spans="1:12">
      <c r="A7" s="2" t="s">
        <v>21</v>
      </c>
      <c r="B7" s="2" t="s">
        <v>22</v>
      </c>
      <c r="C7" s="2">
        <v>4454</v>
      </c>
      <c r="D7" s="2">
        <v>5</v>
      </c>
      <c r="E7" s="2" t="s">
        <v>13</v>
      </c>
      <c r="F7" s="2"/>
      <c r="G7" s="2"/>
      <c r="H7" s="2"/>
      <c r="I7" s="2"/>
      <c r="J7" s="2"/>
      <c r="K7" s="2"/>
    </row>
    <row r="8" spans="1:12">
      <c r="A8" s="2" t="s">
        <v>23</v>
      </c>
      <c r="B8" s="2" t="s">
        <v>22</v>
      </c>
      <c r="C8" s="2">
        <v>12000</v>
      </c>
      <c r="D8" s="2">
        <v>5</v>
      </c>
      <c r="E8" s="2" t="s">
        <v>13</v>
      </c>
      <c r="F8" s="2"/>
      <c r="G8" s="2"/>
      <c r="H8" s="2"/>
      <c r="I8" s="2"/>
      <c r="J8" s="2"/>
      <c r="K8" s="2"/>
    </row>
    <row r="9" spans="1:12">
      <c r="A9" s="2" t="s">
        <v>24</v>
      </c>
      <c r="B9" s="2" t="s">
        <v>25</v>
      </c>
      <c r="C9" s="2">
        <v>2510</v>
      </c>
      <c r="D9" s="2">
        <v>5</v>
      </c>
      <c r="E9" s="2" t="s">
        <v>13</v>
      </c>
      <c r="F9" s="2"/>
      <c r="G9" s="2"/>
      <c r="H9" s="2"/>
      <c r="I9" s="2"/>
      <c r="J9" s="2"/>
      <c r="K9" s="2"/>
    </row>
    <row r="10" spans="1:12">
      <c r="A10" s="2" t="s">
        <v>26</v>
      </c>
      <c r="B10" s="2" t="s">
        <v>25</v>
      </c>
      <c r="C10" s="2">
        <v>4330</v>
      </c>
      <c r="D10" s="2">
        <v>5</v>
      </c>
      <c r="E10" s="2" t="s">
        <v>13</v>
      </c>
      <c r="F10" s="2"/>
      <c r="G10" s="2"/>
      <c r="H10" s="2"/>
      <c r="I10" s="2"/>
      <c r="J10" s="2"/>
      <c r="K10" s="2"/>
    </row>
    <row r="11" spans="1:12">
      <c r="A11" s="2" t="s">
        <v>27</v>
      </c>
      <c r="B11" s="2" t="s">
        <v>28</v>
      </c>
      <c r="C11">
        <v>16513</v>
      </c>
      <c r="D11" s="2">
        <v>5</v>
      </c>
      <c r="E11" s="2" t="s">
        <v>17</v>
      </c>
      <c r="F11" s="2"/>
      <c r="G11" s="2"/>
    </row>
    <row r="12" spans="1:12">
      <c r="A12" s="2" t="s">
        <v>29</v>
      </c>
      <c r="B12" s="2" t="s">
        <v>28</v>
      </c>
      <c r="C12" s="2">
        <v>19547</v>
      </c>
      <c r="D12" s="2">
        <v>5</v>
      </c>
      <c r="E12" s="2" t="s">
        <v>13</v>
      </c>
      <c r="F12" s="2"/>
      <c r="G12" s="2"/>
      <c r="H12" s="2"/>
      <c r="I12" s="2"/>
      <c r="J12" s="2"/>
      <c r="K12" s="2"/>
    </row>
    <row r="13" spans="1:12">
      <c r="A13" s="2" t="s">
        <v>30</v>
      </c>
      <c r="B13" s="2" t="s">
        <v>31</v>
      </c>
      <c r="C13" s="2">
        <v>17182</v>
      </c>
      <c r="D13" s="2">
        <v>5</v>
      </c>
      <c r="E13" s="2" t="s">
        <v>13</v>
      </c>
      <c r="F13" s="2"/>
      <c r="G13" s="2"/>
      <c r="H13" s="2"/>
      <c r="I13" s="2"/>
      <c r="J13" s="2"/>
      <c r="K13" s="2"/>
      <c r="L13" s="2"/>
    </row>
    <row r="14" spans="1:12">
      <c r="A14" s="2" t="s">
        <v>32</v>
      </c>
      <c r="B14" s="2" t="s">
        <v>33</v>
      </c>
      <c r="C14" s="2">
        <v>6465</v>
      </c>
      <c r="D14" s="2">
        <v>5</v>
      </c>
      <c r="E14" s="2"/>
      <c r="F14" s="2"/>
      <c r="G14" s="2"/>
      <c r="H14" s="2"/>
      <c r="I14" s="2"/>
      <c r="J14" s="2"/>
      <c r="K14" s="2"/>
      <c r="L14" s="2"/>
    </row>
    <row r="15" spans="1:12">
      <c r="A15" s="2" t="s">
        <v>34</v>
      </c>
      <c r="B15" s="2" t="s">
        <v>35</v>
      </c>
      <c r="C15" s="2">
        <v>12560</v>
      </c>
      <c r="D15" s="2">
        <v>5</v>
      </c>
      <c r="E15" s="2" t="s">
        <v>13</v>
      </c>
      <c r="F15" s="2"/>
      <c r="G15" s="2"/>
      <c r="H15" s="2"/>
      <c r="I15" s="2"/>
      <c r="J15" s="2"/>
      <c r="K15" s="2"/>
      <c r="L15" s="2"/>
    </row>
    <row r="16" spans="1:12">
      <c r="A16" s="2" t="s">
        <v>36</v>
      </c>
      <c r="B16" s="2" t="s">
        <v>37</v>
      </c>
      <c r="C16">
        <v>22744</v>
      </c>
      <c r="D16" s="2">
        <v>5</v>
      </c>
      <c r="E16" s="2" t="s">
        <v>17</v>
      </c>
      <c r="F16" s="2"/>
      <c r="G16" s="2"/>
      <c r="L16" s="2"/>
    </row>
    <row r="17" spans="1:12">
      <c r="A17" t="s">
        <v>38</v>
      </c>
      <c r="B17" t="s">
        <v>37</v>
      </c>
      <c r="C17">
        <v>23045</v>
      </c>
      <c r="D17">
        <v>5</v>
      </c>
      <c r="E17" t="s">
        <v>39</v>
      </c>
      <c r="F17" s="2"/>
      <c r="G17" s="2"/>
      <c r="H17" s="2"/>
      <c r="I17" s="2"/>
      <c r="J17" s="2"/>
      <c r="K17" s="2"/>
      <c r="L17" s="2"/>
    </row>
    <row r="18" spans="1:12">
      <c r="A18" s="2" t="s">
        <v>40</v>
      </c>
      <c r="B18" s="2" t="s">
        <v>41</v>
      </c>
      <c r="C18" s="2">
        <v>19173</v>
      </c>
      <c r="D18" s="2">
        <v>5</v>
      </c>
      <c r="E18" s="2" t="s">
        <v>13</v>
      </c>
      <c r="F18" s="2"/>
      <c r="G18" s="2"/>
      <c r="H18" s="2"/>
      <c r="I18" s="2"/>
      <c r="J18" s="2"/>
      <c r="K18" s="2"/>
      <c r="L18" s="2"/>
    </row>
    <row r="19" spans="1:12">
      <c r="A19" s="2" t="s">
        <v>42</v>
      </c>
      <c r="B19" s="2" t="s">
        <v>43</v>
      </c>
      <c r="C19" s="2">
        <v>16617</v>
      </c>
      <c r="D19" s="2">
        <v>5</v>
      </c>
      <c r="E19" s="2" t="s">
        <v>13</v>
      </c>
      <c r="F19" s="2"/>
      <c r="G19" s="2"/>
      <c r="H19" s="2"/>
      <c r="I19" s="2"/>
      <c r="J19" s="2"/>
      <c r="K19" s="2"/>
      <c r="L19" s="2"/>
    </row>
    <row r="20" spans="1:12">
      <c r="A20" t="s">
        <v>44</v>
      </c>
      <c r="B20" t="s">
        <v>43</v>
      </c>
      <c r="C20">
        <v>10880</v>
      </c>
      <c r="D20">
        <v>5</v>
      </c>
      <c r="E20" t="s">
        <v>45</v>
      </c>
      <c r="F20" s="2"/>
      <c r="G20" s="2"/>
      <c r="H20" s="2"/>
      <c r="I20" s="2"/>
      <c r="J20" s="2"/>
      <c r="K20" s="2"/>
    </row>
    <row r="21" spans="1:12">
      <c r="A21" s="2" t="s">
        <v>46</v>
      </c>
      <c r="B21" s="2" t="s">
        <v>47</v>
      </c>
      <c r="C21" s="2">
        <v>24517</v>
      </c>
      <c r="D21" s="2">
        <v>5</v>
      </c>
      <c r="E21" s="2" t="s">
        <v>13</v>
      </c>
      <c r="F21" s="2"/>
      <c r="G21" s="2"/>
      <c r="H21" s="2"/>
      <c r="I21" s="2"/>
      <c r="J21" s="2"/>
      <c r="K21" s="2"/>
    </row>
    <row r="22" spans="1:12">
      <c r="A22" s="2" t="s">
        <v>48</v>
      </c>
      <c r="B22" s="2" t="s">
        <v>49</v>
      </c>
      <c r="C22" s="2">
        <v>25329</v>
      </c>
      <c r="D22" s="2">
        <v>5</v>
      </c>
      <c r="E22" s="2"/>
      <c r="F22" s="2"/>
      <c r="G22" s="2"/>
      <c r="H22" s="2"/>
      <c r="I22" s="2"/>
      <c r="J22" s="2"/>
      <c r="K22" s="2"/>
    </row>
    <row r="23" spans="1:12">
      <c r="A23" s="2" t="s">
        <v>50</v>
      </c>
      <c r="B23" s="2" t="s">
        <v>51</v>
      </c>
      <c r="C23" s="2">
        <v>30351</v>
      </c>
      <c r="D23" s="2">
        <v>5</v>
      </c>
      <c r="E23" s="2"/>
      <c r="F23" s="2"/>
      <c r="G23" s="2"/>
      <c r="H23" s="2"/>
      <c r="I23" s="2"/>
      <c r="J23" s="2"/>
      <c r="K23" s="2"/>
    </row>
    <row r="24" spans="1:12">
      <c r="A24" s="2" t="s">
        <v>52</v>
      </c>
      <c r="B24" s="2" t="s">
        <v>53</v>
      </c>
      <c r="C24" s="2">
        <v>27702</v>
      </c>
      <c r="D24" s="2">
        <v>5</v>
      </c>
      <c r="E24" s="2"/>
      <c r="F24" s="2"/>
      <c r="G24" s="2"/>
      <c r="H24" s="2"/>
      <c r="I24" s="2"/>
      <c r="J24" s="2"/>
      <c r="K24" s="2"/>
      <c r="L24" s="2"/>
    </row>
    <row r="25" spans="1:12">
      <c r="A25" s="2" t="s">
        <v>54</v>
      </c>
      <c r="B25" s="2" t="s">
        <v>53</v>
      </c>
      <c r="C25" s="2">
        <v>29209</v>
      </c>
      <c r="D25" s="2">
        <v>5</v>
      </c>
      <c r="E25" s="2" t="s">
        <v>13</v>
      </c>
      <c r="F25" s="2"/>
      <c r="G25" s="2"/>
      <c r="H25" s="2"/>
      <c r="I25" s="2"/>
      <c r="J25" s="2"/>
      <c r="K25" s="2"/>
      <c r="L25" s="2"/>
    </row>
    <row r="26" spans="1:12">
      <c r="A26" s="2" t="s">
        <v>55</v>
      </c>
      <c r="B26" s="2" t="s">
        <v>56</v>
      </c>
      <c r="C26" s="2">
        <v>23888</v>
      </c>
      <c r="D26" s="2">
        <v>5</v>
      </c>
      <c r="E26" s="2"/>
      <c r="F26" s="2"/>
      <c r="G26" s="2"/>
      <c r="H26" s="2"/>
      <c r="I26" s="2"/>
      <c r="J26" s="2"/>
      <c r="K26" s="2"/>
      <c r="L26" s="2"/>
    </row>
    <row r="27" spans="1:12">
      <c r="A27" t="s">
        <v>57</v>
      </c>
      <c r="B27" t="s">
        <v>56</v>
      </c>
      <c r="C27">
        <v>27785</v>
      </c>
      <c r="D27">
        <v>5</v>
      </c>
      <c r="E27" t="s">
        <v>58</v>
      </c>
      <c r="F27" s="2"/>
      <c r="G27" s="2"/>
      <c r="H27" s="2"/>
      <c r="I27" s="2"/>
      <c r="J27" s="2"/>
      <c r="K27" s="2"/>
      <c r="L27" s="2"/>
    </row>
    <row r="28" spans="1:12">
      <c r="A28" s="2" t="s">
        <v>59</v>
      </c>
      <c r="B28" s="2" t="s">
        <v>60</v>
      </c>
      <c r="C28" s="2">
        <v>26060</v>
      </c>
      <c r="D28" s="2">
        <v>5</v>
      </c>
      <c r="E28" s="2" t="s">
        <v>61</v>
      </c>
      <c r="F28" s="2"/>
      <c r="G28" s="2"/>
      <c r="H28" s="2"/>
      <c r="I28" s="2"/>
      <c r="J28" s="2"/>
      <c r="K28" s="2"/>
      <c r="L28" s="2"/>
    </row>
    <row r="29" spans="1:12">
      <c r="A29" s="2" t="s">
        <v>62</v>
      </c>
      <c r="B29" s="2" t="s">
        <v>60</v>
      </c>
      <c r="C29" s="2">
        <v>29389</v>
      </c>
      <c r="D29" s="2">
        <v>5</v>
      </c>
      <c r="E29" s="2"/>
      <c r="F29" s="2"/>
      <c r="G29" s="2"/>
      <c r="H29" s="2"/>
      <c r="I29" s="2"/>
      <c r="J29" s="2"/>
      <c r="K29" s="2"/>
      <c r="L29" s="2"/>
    </row>
    <row r="30" spans="1:12">
      <c r="A30" s="2" t="s">
        <v>63</v>
      </c>
      <c r="B30" s="2" t="s">
        <v>64</v>
      </c>
      <c r="C30" s="2">
        <v>23457</v>
      </c>
      <c r="D30" s="2">
        <v>5</v>
      </c>
      <c r="E30" s="2" t="s">
        <v>13</v>
      </c>
      <c r="F30" s="2"/>
      <c r="G30" s="2"/>
      <c r="H30" s="2"/>
      <c r="I30" s="2"/>
      <c r="J30" s="2"/>
      <c r="K30" s="2"/>
      <c r="L30" s="2"/>
    </row>
    <row r="31" spans="1:12">
      <c r="A31" s="2" t="s">
        <v>65</v>
      </c>
      <c r="B31" s="2" t="s">
        <v>64</v>
      </c>
      <c r="C31" s="2">
        <v>24936</v>
      </c>
      <c r="D31" s="2">
        <v>5</v>
      </c>
      <c r="E31" s="2"/>
      <c r="F31" s="2"/>
      <c r="G31" s="2"/>
      <c r="H31" s="2"/>
      <c r="I31" s="2"/>
      <c r="J31" s="2"/>
      <c r="K31" s="2"/>
      <c r="L31" s="2"/>
    </row>
    <row r="32" spans="1:12">
      <c r="A32" s="2" t="s">
        <v>66</v>
      </c>
      <c r="B32" s="2" t="s">
        <v>67</v>
      </c>
      <c r="C32" s="2">
        <v>25495</v>
      </c>
      <c r="D32" s="2">
        <v>5</v>
      </c>
      <c r="E32" s="2"/>
      <c r="F32" s="2"/>
      <c r="G32" s="2"/>
      <c r="H32" s="2"/>
      <c r="I32" s="2"/>
      <c r="J32" s="2"/>
      <c r="K32" s="2"/>
      <c r="L32" s="2"/>
    </row>
    <row r="33" spans="1:12">
      <c r="A33" s="2" t="s">
        <v>68</v>
      </c>
      <c r="B33" s="2" t="s">
        <v>67</v>
      </c>
      <c r="C33" s="2">
        <v>27018</v>
      </c>
      <c r="D33" s="2">
        <v>5</v>
      </c>
      <c r="E33" s="2"/>
      <c r="F33" s="2"/>
      <c r="G33" s="2"/>
      <c r="H33" s="2"/>
      <c r="I33" s="2"/>
      <c r="J33" s="2"/>
      <c r="K33" s="2"/>
      <c r="L33" s="2"/>
    </row>
    <row r="34" spans="1:12">
      <c r="A34" s="2" t="s">
        <v>69</v>
      </c>
      <c r="B34" s="2" t="s">
        <v>70</v>
      </c>
      <c r="C34" s="2">
        <v>93</v>
      </c>
      <c r="D34" s="2">
        <v>5</v>
      </c>
      <c r="E34" s="2"/>
      <c r="F34" s="2"/>
      <c r="G34" s="2"/>
      <c r="H34" s="2"/>
      <c r="I34" s="2"/>
      <c r="J34" s="2"/>
      <c r="K34" s="2"/>
    </row>
    <row r="35" spans="1:12">
      <c r="A35" s="2" t="s">
        <v>71</v>
      </c>
      <c r="B35" s="2" t="s">
        <v>70</v>
      </c>
      <c r="C35" s="2">
        <v>402</v>
      </c>
      <c r="D35" s="2">
        <v>5</v>
      </c>
      <c r="E35" s="2" t="s">
        <v>72</v>
      </c>
      <c r="F35" s="2"/>
      <c r="G35" s="2"/>
      <c r="H35" s="2"/>
      <c r="I35" s="2"/>
      <c r="J35" s="2"/>
      <c r="K35" s="2"/>
    </row>
    <row r="36" spans="1:12">
      <c r="A36" s="2" t="s">
        <v>73</v>
      </c>
      <c r="B36" s="2" t="s">
        <v>74</v>
      </c>
      <c r="C36" s="2">
        <v>2233</v>
      </c>
      <c r="D36" s="2">
        <v>5</v>
      </c>
      <c r="E36" s="2" t="s">
        <v>13</v>
      </c>
      <c r="F36" s="2"/>
      <c r="G36" s="2"/>
      <c r="H36" s="2"/>
      <c r="I36" s="2"/>
      <c r="J36" s="2"/>
      <c r="K36" s="2"/>
    </row>
    <row r="37" spans="1:12">
      <c r="A37" s="2" t="s">
        <v>75</v>
      </c>
      <c r="B37" s="2" t="s">
        <v>74</v>
      </c>
      <c r="C37" s="2">
        <v>5253</v>
      </c>
      <c r="D37" s="2">
        <v>5</v>
      </c>
      <c r="E37" s="2"/>
    </row>
    <row r="38" spans="1:12">
      <c r="A38" s="2" t="s">
        <v>76</v>
      </c>
      <c r="B38" s="2" t="s">
        <v>77</v>
      </c>
      <c r="C38" s="2">
        <v>4707</v>
      </c>
      <c r="D38" s="2">
        <v>5</v>
      </c>
      <c r="E38" s="2" t="s">
        <v>13</v>
      </c>
    </row>
    <row r="39" spans="1:12">
      <c r="A39" s="2" t="s">
        <v>78</v>
      </c>
      <c r="B39" s="2" t="s">
        <v>77</v>
      </c>
      <c r="C39" s="2">
        <v>5313</v>
      </c>
      <c r="D39" s="2">
        <v>5</v>
      </c>
      <c r="E39" s="2" t="s">
        <v>13</v>
      </c>
    </row>
  </sheetData>
  <sortState xmlns:xlrd2="http://schemas.microsoft.com/office/spreadsheetml/2017/richdata2" ref="A2:K36">
    <sortCondition ref="B2:B36"/>
    <sortCondition ref="C2:C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159A-3E72-4C0D-B827-4216B1C097F3}">
  <dimension ref="A1:L26"/>
  <sheetViews>
    <sheetView workbookViewId="0">
      <selection activeCell="A2" sqref="A2:E26"/>
    </sheetView>
  </sheetViews>
  <sheetFormatPr defaultRowHeight="15"/>
  <cols>
    <col min="1" max="2" width="16.28515625" customWidth="1"/>
    <col min="5" max="5" width="37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s="2" t="s">
        <v>79</v>
      </c>
      <c r="B2" s="2" t="s">
        <v>74</v>
      </c>
      <c r="C2" s="2">
        <v>1328</v>
      </c>
      <c r="D2" s="2">
        <v>5</v>
      </c>
      <c r="E2" s="2" t="s">
        <v>13</v>
      </c>
      <c r="F2" s="2"/>
      <c r="G2" s="2"/>
      <c r="H2" s="2"/>
      <c r="I2" s="2"/>
      <c r="J2" s="2"/>
      <c r="K2" s="2"/>
      <c r="L2" s="2"/>
    </row>
    <row r="3" spans="1:12">
      <c r="A3" s="2" t="s">
        <v>80</v>
      </c>
      <c r="B3" s="2" t="s">
        <v>70</v>
      </c>
      <c r="C3" s="2">
        <v>2211</v>
      </c>
      <c r="D3" s="2">
        <v>5</v>
      </c>
      <c r="E3" s="2"/>
      <c r="F3" s="2"/>
      <c r="G3" s="2"/>
      <c r="H3" s="2"/>
      <c r="I3" s="2"/>
      <c r="J3" s="2"/>
      <c r="K3" s="2"/>
      <c r="L3" s="2"/>
    </row>
    <row r="4" spans="1:12">
      <c r="A4" s="2" t="s">
        <v>14</v>
      </c>
      <c r="B4" s="2" t="s">
        <v>12</v>
      </c>
      <c r="C4" s="2">
        <v>2403</v>
      </c>
      <c r="D4" s="2">
        <v>5</v>
      </c>
      <c r="E4" s="2"/>
      <c r="F4" s="2"/>
      <c r="G4" s="2"/>
      <c r="H4" s="2"/>
      <c r="I4" s="2"/>
      <c r="J4" s="2"/>
      <c r="K4" s="2"/>
      <c r="L4" s="2"/>
    </row>
    <row r="5" spans="1:12">
      <c r="A5" s="2" t="s">
        <v>81</v>
      </c>
      <c r="B5" s="2" t="s">
        <v>20</v>
      </c>
      <c r="C5" s="2">
        <v>4211</v>
      </c>
      <c r="D5" s="2">
        <v>5</v>
      </c>
      <c r="E5" s="2"/>
      <c r="F5" s="2"/>
      <c r="G5" s="2"/>
      <c r="H5" s="2"/>
      <c r="I5" s="2"/>
      <c r="J5" s="2"/>
      <c r="K5" s="2"/>
      <c r="L5" s="2"/>
    </row>
    <row r="6" spans="1:12">
      <c r="A6" s="2" t="s">
        <v>75</v>
      </c>
      <c r="B6" s="2" t="s">
        <v>74</v>
      </c>
      <c r="C6" s="2">
        <v>5253</v>
      </c>
      <c r="D6" s="2">
        <v>5</v>
      </c>
      <c r="E6" s="2" t="s">
        <v>13</v>
      </c>
      <c r="F6" s="2"/>
      <c r="G6" s="2"/>
      <c r="H6" s="2"/>
      <c r="I6" s="2"/>
      <c r="J6" s="2"/>
      <c r="K6" s="2"/>
      <c r="L6" s="2"/>
    </row>
    <row r="7" spans="1:12">
      <c r="A7" s="2" t="s">
        <v>78</v>
      </c>
      <c r="B7" s="2" t="s">
        <v>77</v>
      </c>
      <c r="C7" s="2">
        <v>5313</v>
      </c>
      <c r="D7" s="2">
        <v>5</v>
      </c>
      <c r="E7" s="2"/>
      <c r="F7" s="2"/>
      <c r="G7" s="2"/>
      <c r="H7" s="2"/>
      <c r="I7" s="2"/>
      <c r="J7" s="2"/>
      <c r="K7" s="2"/>
      <c r="L7" s="2"/>
    </row>
    <row r="8" spans="1:12">
      <c r="A8" s="2" t="s">
        <v>82</v>
      </c>
      <c r="B8" s="2" t="s">
        <v>20</v>
      </c>
      <c r="C8" s="2">
        <v>6621</v>
      </c>
      <c r="D8" s="2">
        <v>5</v>
      </c>
      <c r="E8" s="2"/>
      <c r="F8" s="2"/>
      <c r="G8" s="2"/>
      <c r="H8" s="2"/>
      <c r="I8" s="2"/>
      <c r="J8" s="2"/>
      <c r="K8" s="2"/>
      <c r="L8" s="2"/>
    </row>
    <row r="9" spans="1:12">
      <c r="A9" s="2" t="s">
        <v>83</v>
      </c>
      <c r="B9" s="2" t="s">
        <v>28</v>
      </c>
      <c r="C9" s="2">
        <v>6847</v>
      </c>
      <c r="D9" s="2">
        <v>5</v>
      </c>
      <c r="E9" s="2"/>
      <c r="F9" s="2"/>
      <c r="G9" s="2"/>
      <c r="H9" s="2"/>
      <c r="I9" s="2"/>
      <c r="J9" s="2"/>
      <c r="K9" s="2"/>
      <c r="L9" s="2"/>
    </row>
    <row r="10" spans="1:12">
      <c r="A10" s="2" t="s">
        <v>23</v>
      </c>
      <c r="B10" s="2" t="s">
        <v>22</v>
      </c>
      <c r="C10" s="2">
        <v>12000</v>
      </c>
      <c r="D10" s="2">
        <v>5</v>
      </c>
      <c r="E10" s="2" t="s">
        <v>13</v>
      </c>
      <c r="F10" s="2"/>
      <c r="G10" s="2"/>
      <c r="H10" s="2"/>
      <c r="I10" s="2"/>
      <c r="J10" s="2"/>
      <c r="K10" s="2"/>
      <c r="L10" s="2"/>
    </row>
    <row r="11" spans="1:12">
      <c r="A11" s="2" t="s">
        <v>34</v>
      </c>
      <c r="B11" s="2" t="s">
        <v>35</v>
      </c>
      <c r="C11" s="2">
        <v>12560</v>
      </c>
      <c r="D11" s="2">
        <v>5</v>
      </c>
      <c r="E11" s="2" t="s">
        <v>84</v>
      </c>
      <c r="F11" s="2"/>
      <c r="G11" s="2"/>
      <c r="H11" s="2"/>
      <c r="I11" s="2"/>
      <c r="J11" s="2"/>
      <c r="K11" s="2"/>
      <c r="L11" s="2"/>
    </row>
    <row r="12" spans="1:12">
      <c r="A12" s="2" t="s">
        <v>85</v>
      </c>
      <c r="B12" s="2" t="s">
        <v>37</v>
      </c>
      <c r="C12" s="2">
        <v>12781</v>
      </c>
      <c r="D12" s="2">
        <v>5</v>
      </c>
      <c r="E12" t="s">
        <v>17</v>
      </c>
      <c r="F12" s="2"/>
      <c r="G12" s="2"/>
      <c r="H12" s="2"/>
      <c r="I12" s="2"/>
      <c r="J12" s="2"/>
      <c r="K12" s="2"/>
      <c r="L12" s="2"/>
    </row>
    <row r="13" spans="1:12">
      <c r="A13" s="2" t="s">
        <v>86</v>
      </c>
      <c r="B13" s="2" t="s">
        <v>87</v>
      </c>
      <c r="C13" s="2">
        <v>13638</v>
      </c>
      <c r="D13" s="2">
        <v>5</v>
      </c>
      <c r="E13" t="s">
        <v>17</v>
      </c>
      <c r="F13" s="2"/>
      <c r="G13" s="2"/>
      <c r="H13" s="2"/>
      <c r="I13" s="2"/>
      <c r="J13" s="2"/>
      <c r="K13" s="2"/>
      <c r="L13" s="2"/>
    </row>
    <row r="14" spans="1:12">
      <c r="A14" s="2" t="s">
        <v>88</v>
      </c>
      <c r="B14" s="2" t="s">
        <v>37</v>
      </c>
      <c r="C14" s="2">
        <v>16121</v>
      </c>
      <c r="D14" s="2">
        <v>5</v>
      </c>
      <c r="E14" s="2" t="s">
        <v>89</v>
      </c>
      <c r="F14" s="2"/>
      <c r="G14" s="2"/>
      <c r="H14" s="2"/>
      <c r="I14" s="2"/>
      <c r="J14" s="2"/>
      <c r="K14" s="2"/>
      <c r="L14" s="2"/>
    </row>
    <row r="15" spans="1:12">
      <c r="A15" s="2" t="s">
        <v>90</v>
      </c>
      <c r="B15" s="2" t="s">
        <v>51</v>
      </c>
      <c r="C15" s="2">
        <v>17395</v>
      </c>
      <c r="D15" s="2">
        <v>5</v>
      </c>
      <c r="E15" s="2" t="s">
        <v>13</v>
      </c>
      <c r="F15" s="2"/>
      <c r="G15" s="2"/>
      <c r="H15" s="2"/>
      <c r="I15" s="2"/>
      <c r="J15" s="2"/>
      <c r="K15" s="2"/>
      <c r="L15" s="2"/>
    </row>
    <row r="16" spans="1:12">
      <c r="A16" s="2" t="s">
        <v>91</v>
      </c>
      <c r="B16" s="2" t="s">
        <v>41</v>
      </c>
      <c r="C16" s="2">
        <v>19763</v>
      </c>
      <c r="D16" s="2">
        <v>5</v>
      </c>
      <c r="E16" s="2" t="s">
        <v>13</v>
      </c>
      <c r="F16" s="2"/>
      <c r="G16" s="2"/>
      <c r="H16" s="2"/>
      <c r="I16" s="2"/>
      <c r="J16" s="2"/>
      <c r="K16" s="2"/>
      <c r="L16" s="2"/>
    </row>
    <row r="17" spans="1:12">
      <c r="A17" t="s">
        <v>63</v>
      </c>
      <c r="B17" t="s">
        <v>64</v>
      </c>
      <c r="C17">
        <v>23457</v>
      </c>
      <c r="D17">
        <v>5</v>
      </c>
      <c r="E17" t="s">
        <v>17</v>
      </c>
      <c r="F17" s="2"/>
      <c r="G17" s="2"/>
      <c r="H17" s="2"/>
      <c r="I17" s="2"/>
      <c r="J17" s="2"/>
      <c r="K17" s="2"/>
      <c r="L17" s="2"/>
    </row>
    <row r="18" spans="1:12">
      <c r="A18" s="2" t="s">
        <v>92</v>
      </c>
      <c r="B18" s="2" t="s">
        <v>67</v>
      </c>
      <c r="C18" s="2">
        <v>24297</v>
      </c>
      <c r="D18" s="2">
        <v>5</v>
      </c>
      <c r="E18" s="2" t="s">
        <v>13</v>
      </c>
      <c r="F18" s="2"/>
      <c r="G18" s="2"/>
      <c r="H18" s="2"/>
      <c r="I18" s="2"/>
      <c r="J18" s="2"/>
      <c r="K18" s="2"/>
      <c r="L18" s="2"/>
    </row>
    <row r="19" spans="1:12">
      <c r="A19" s="2" t="s">
        <v>93</v>
      </c>
      <c r="B19" s="2" t="s">
        <v>51</v>
      </c>
      <c r="C19" s="2">
        <v>24628</v>
      </c>
      <c r="D19" s="2">
        <v>5</v>
      </c>
      <c r="E19" s="2"/>
      <c r="F19" s="2"/>
      <c r="G19" s="2"/>
      <c r="H19" s="2"/>
      <c r="I19" s="2"/>
      <c r="J19" s="2"/>
      <c r="K19" s="2"/>
      <c r="L19" s="2"/>
    </row>
    <row r="20" spans="1:12">
      <c r="A20" s="2" t="s">
        <v>94</v>
      </c>
      <c r="B20" s="2" t="s">
        <v>67</v>
      </c>
      <c r="C20" s="2">
        <v>25518</v>
      </c>
      <c r="D20" s="2">
        <v>5</v>
      </c>
      <c r="E20" s="2"/>
      <c r="F20" s="2"/>
      <c r="G20" s="2"/>
      <c r="H20" s="2"/>
      <c r="I20" s="2"/>
      <c r="J20" s="2"/>
      <c r="K20" s="2"/>
      <c r="L20" s="2"/>
    </row>
    <row r="21" spans="1:12">
      <c r="A21" s="2" t="s">
        <v>95</v>
      </c>
      <c r="B21" s="2" t="s">
        <v>96</v>
      </c>
      <c r="C21" s="2">
        <v>26610</v>
      </c>
      <c r="D21" s="2">
        <v>5</v>
      </c>
      <c r="E21" s="2"/>
      <c r="F21" s="2"/>
      <c r="G21" s="2"/>
      <c r="H21" s="2"/>
      <c r="I21" s="2"/>
      <c r="J21" s="2"/>
      <c r="K21" s="2"/>
      <c r="L21" s="2"/>
    </row>
    <row r="22" spans="1:12">
      <c r="A22" s="2" t="s">
        <v>97</v>
      </c>
      <c r="B22" s="2" t="s">
        <v>49</v>
      </c>
      <c r="C22" s="2">
        <v>28032</v>
      </c>
      <c r="D22" s="2">
        <v>5</v>
      </c>
      <c r="E22" s="2" t="s">
        <v>13</v>
      </c>
    </row>
    <row r="23" spans="1:12">
      <c r="A23" s="2" t="s">
        <v>54</v>
      </c>
      <c r="B23" s="2" t="s">
        <v>53</v>
      </c>
      <c r="C23" s="2">
        <v>29209</v>
      </c>
      <c r="D23" s="2">
        <v>5</v>
      </c>
      <c r="E23" s="2"/>
    </row>
    <row r="24" spans="1:12">
      <c r="A24" s="2" t="s">
        <v>98</v>
      </c>
      <c r="B24" s="2" t="s">
        <v>99</v>
      </c>
      <c r="C24" s="2">
        <v>30210</v>
      </c>
      <c r="D24" s="2">
        <v>5</v>
      </c>
      <c r="E24" s="2"/>
    </row>
    <row r="25" spans="1:12">
      <c r="A25" s="2" t="s">
        <v>100</v>
      </c>
      <c r="B25" s="2" t="s">
        <v>99</v>
      </c>
      <c r="C25" s="2">
        <v>30823</v>
      </c>
      <c r="D25" s="2">
        <v>5</v>
      </c>
      <c r="E25" t="s">
        <v>17</v>
      </c>
    </row>
    <row r="26" spans="1:12">
      <c r="A26" t="s">
        <v>101</v>
      </c>
      <c r="B26" s="5" t="s">
        <v>60</v>
      </c>
      <c r="C26" s="5">
        <v>30590</v>
      </c>
      <c r="D26">
        <v>5</v>
      </c>
      <c r="E26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EC8A-4EDE-4303-BA68-32E5E997674D}">
  <dimension ref="A1:L32"/>
  <sheetViews>
    <sheetView tabSelected="1" topLeftCell="A29" workbookViewId="0">
      <selection activeCell="A33" sqref="A33:XFD36"/>
    </sheetView>
  </sheetViews>
  <sheetFormatPr defaultRowHeight="15"/>
  <cols>
    <col min="1" max="2" width="15.7109375" customWidth="1"/>
    <col min="5" max="5" width="40.4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s="2" t="s">
        <v>103</v>
      </c>
      <c r="B2" s="2" t="s">
        <v>12</v>
      </c>
      <c r="C2" s="2">
        <v>1203</v>
      </c>
      <c r="D2" s="2">
        <v>5</v>
      </c>
      <c r="E2" s="2" t="s">
        <v>104</v>
      </c>
      <c r="F2" s="2"/>
      <c r="G2" s="2"/>
      <c r="H2" s="2"/>
      <c r="I2" s="2"/>
      <c r="J2" s="2"/>
      <c r="K2" s="2"/>
      <c r="L2" s="2"/>
    </row>
    <row r="3" spans="1:12">
      <c r="A3" s="2" t="s">
        <v>80</v>
      </c>
      <c r="B3" s="2" t="s">
        <v>70</v>
      </c>
      <c r="C3" s="2">
        <v>2211</v>
      </c>
      <c r="D3" s="2">
        <v>5</v>
      </c>
      <c r="E3" s="2"/>
      <c r="F3" s="2"/>
      <c r="G3" s="2"/>
      <c r="H3" s="2"/>
      <c r="I3" s="2"/>
      <c r="J3" s="2"/>
      <c r="K3" s="2"/>
      <c r="L3" s="2"/>
    </row>
    <row r="4" spans="1:12">
      <c r="A4" s="2" t="s">
        <v>14</v>
      </c>
      <c r="B4" s="2" t="s">
        <v>12</v>
      </c>
      <c r="C4" s="2">
        <v>2403</v>
      </c>
      <c r="D4" s="2">
        <v>5</v>
      </c>
      <c r="E4" s="2"/>
      <c r="F4" s="2"/>
      <c r="G4" s="2"/>
      <c r="H4" s="2"/>
      <c r="I4" s="2"/>
      <c r="J4" s="2"/>
      <c r="K4" s="2"/>
      <c r="L4" s="2"/>
    </row>
    <row r="5" spans="1:12">
      <c r="A5" s="2" t="s">
        <v>15</v>
      </c>
      <c r="B5" s="2" t="s">
        <v>16</v>
      </c>
      <c r="C5" s="2">
        <v>2572</v>
      </c>
      <c r="D5" s="2">
        <v>5</v>
      </c>
      <c r="E5" s="2" t="s">
        <v>105</v>
      </c>
      <c r="F5" s="2"/>
      <c r="G5" s="2"/>
      <c r="H5" s="2"/>
      <c r="I5" s="2"/>
      <c r="J5" s="2"/>
      <c r="K5" s="2"/>
      <c r="L5" s="2"/>
    </row>
    <row r="6" spans="1:12">
      <c r="A6" s="2" t="s">
        <v>21</v>
      </c>
      <c r="B6" s="2" t="s">
        <v>22</v>
      </c>
      <c r="C6" s="2">
        <v>4454</v>
      </c>
      <c r="D6" s="2">
        <v>5</v>
      </c>
      <c r="E6" s="2"/>
      <c r="F6" s="2"/>
      <c r="G6" s="2"/>
      <c r="H6" s="2"/>
      <c r="I6" s="2"/>
      <c r="J6" s="2"/>
      <c r="K6" s="2"/>
      <c r="L6" s="2"/>
    </row>
    <row r="7" spans="1:12">
      <c r="A7" s="2" t="s">
        <v>106</v>
      </c>
      <c r="B7" s="2" t="s">
        <v>70</v>
      </c>
      <c r="C7" s="2">
        <v>5238</v>
      </c>
      <c r="D7" s="2">
        <v>5</v>
      </c>
      <c r="E7" t="s">
        <v>107</v>
      </c>
      <c r="F7" s="2"/>
      <c r="G7" s="2"/>
      <c r="H7" s="2"/>
      <c r="I7" s="2"/>
      <c r="J7" s="2"/>
      <c r="K7" s="2"/>
      <c r="L7" s="2"/>
    </row>
    <row r="8" spans="1:12">
      <c r="A8" s="2" t="s">
        <v>75</v>
      </c>
      <c r="B8" s="2" t="s">
        <v>74</v>
      </c>
      <c r="C8" s="2">
        <v>5253</v>
      </c>
      <c r="D8" s="2">
        <v>5</v>
      </c>
      <c r="E8" s="2"/>
      <c r="F8" s="2"/>
      <c r="G8" s="2"/>
      <c r="H8" s="2"/>
      <c r="I8" s="2"/>
      <c r="J8" s="2"/>
      <c r="K8" s="2"/>
      <c r="L8" s="2"/>
    </row>
    <row r="9" spans="1:12">
      <c r="A9" s="2" t="s">
        <v>78</v>
      </c>
      <c r="B9" s="2" t="s">
        <v>77</v>
      </c>
      <c r="C9" s="2">
        <v>5313</v>
      </c>
      <c r="D9" s="2">
        <v>5</v>
      </c>
      <c r="E9" s="2"/>
      <c r="F9" s="2"/>
      <c r="G9" s="2"/>
      <c r="H9" s="2"/>
      <c r="I9" s="2"/>
      <c r="J9" s="2"/>
      <c r="K9" s="2"/>
      <c r="L9" s="2"/>
    </row>
    <row r="10" spans="1:12">
      <c r="A10" t="s">
        <v>108</v>
      </c>
      <c r="B10" t="s">
        <v>33</v>
      </c>
      <c r="C10">
        <v>5551</v>
      </c>
      <c r="D10">
        <v>5</v>
      </c>
      <c r="E10" t="s">
        <v>109</v>
      </c>
      <c r="F10" s="2"/>
      <c r="G10" s="2"/>
      <c r="H10" s="2"/>
      <c r="I10" s="2"/>
      <c r="J10" s="2"/>
      <c r="K10" s="2"/>
      <c r="L10" s="2"/>
    </row>
    <row r="11" spans="1:12">
      <c r="A11" t="s">
        <v>110</v>
      </c>
      <c r="B11" t="s">
        <v>111</v>
      </c>
      <c r="C11">
        <v>8690</v>
      </c>
      <c r="D11">
        <v>5</v>
      </c>
      <c r="E11" t="s">
        <v>112</v>
      </c>
      <c r="F11" s="2"/>
      <c r="G11" s="2"/>
      <c r="H11" s="2"/>
      <c r="I11" s="2"/>
      <c r="J11" s="2"/>
      <c r="K11" s="2"/>
      <c r="L11" s="2"/>
    </row>
    <row r="12" spans="1:12">
      <c r="A12" s="2" t="s">
        <v>113</v>
      </c>
      <c r="B12" s="2" t="s">
        <v>37</v>
      </c>
      <c r="C12" s="2">
        <v>9472</v>
      </c>
      <c r="D12" s="2">
        <v>5</v>
      </c>
      <c r="E12" s="2" t="s">
        <v>105</v>
      </c>
      <c r="F12" s="2"/>
      <c r="G12" s="2"/>
      <c r="H12" s="2"/>
      <c r="I12" s="2"/>
      <c r="J12" s="2"/>
      <c r="K12" s="2"/>
      <c r="L12" s="2"/>
    </row>
    <row r="13" spans="1:12">
      <c r="A13" s="2" t="s">
        <v>114</v>
      </c>
      <c r="B13" s="2" t="s">
        <v>20</v>
      </c>
      <c r="C13" s="2">
        <v>10508</v>
      </c>
      <c r="D13" s="2">
        <v>5</v>
      </c>
      <c r="E13" s="2"/>
      <c r="F13" s="2"/>
      <c r="G13" s="2"/>
      <c r="H13" s="2"/>
      <c r="I13" s="2"/>
      <c r="J13" s="2"/>
      <c r="K13" s="2"/>
      <c r="L13" s="2"/>
    </row>
    <row r="14" spans="1:12">
      <c r="A14" s="2" t="s">
        <v>115</v>
      </c>
      <c r="B14" s="2" t="s">
        <v>87</v>
      </c>
      <c r="C14" s="2">
        <v>10625</v>
      </c>
      <c r="D14" s="2">
        <v>5</v>
      </c>
      <c r="E14" s="2"/>
      <c r="F14" s="2"/>
      <c r="G14" s="2"/>
      <c r="H14" s="2"/>
      <c r="I14" s="2"/>
      <c r="J14" s="2"/>
      <c r="K14" s="2"/>
      <c r="L14" s="2"/>
    </row>
    <row r="15" spans="1:12">
      <c r="A15" s="2" t="s">
        <v>116</v>
      </c>
      <c r="B15" s="2" t="s">
        <v>87</v>
      </c>
      <c r="C15" s="2">
        <v>10628</v>
      </c>
      <c r="D15" s="2">
        <v>5</v>
      </c>
      <c r="E15" s="2"/>
      <c r="F15" s="2"/>
      <c r="G15" s="2"/>
      <c r="H15" s="2"/>
      <c r="I15" s="2"/>
      <c r="J15" s="2"/>
      <c r="K15" s="2"/>
      <c r="L15" s="2"/>
    </row>
    <row r="16" spans="1:12">
      <c r="A16" t="s">
        <v>23</v>
      </c>
      <c r="B16" t="s">
        <v>22</v>
      </c>
      <c r="C16">
        <v>12000</v>
      </c>
      <c r="D16">
        <v>5</v>
      </c>
      <c r="E16" t="s">
        <v>109</v>
      </c>
      <c r="F16" s="2"/>
      <c r="G16" s="2"/>
      <c r="H16" s="2"/>
      <c r="I16" s="2"/>
      <c r="J16" s="2"/>
      <c r="K16" s="2"/>
      <c r="L16" s="2"/>
    </row>
    <row r="17" spans="1:12">
      <c r="A17" s="2" t="s">
        <v>117</v>
      </c>
      <c r="B17" s="2" t="s">
        <v>20</v>
      </c>
      <c r="C17" s="2">
        <v>12632</v>
      </c>
      <c r="D17" s="2">
        <v>5</v>
      </c>
      <c r="E17" t="s">
        <v>118</v>
      </c>
      <c r="F17" s="2"/>
      <c r="G17" s="2"/>
      <c r="H17" s="2"/>
      <c r="I17" s="2"/>
      <c r="J17" s="2"/>
      <c r="K17" s="2"/>
      <c r="L17" s="2"/>
    </row>
    <row r="18" spans="1:12">
      <c r="A18" s="2" t="s">
        <v>119</v>
      </c>
      <c r="B18" s="2" t="s">
        <v>43</v>
      </c>
      <c r="C18" s="2">
        <v>13638</v>
      </c>
      <c r="D18" s="2">
        <v>5</v>
      </c>
      <c r="E18" s="2" t="s">
        <v>105</v>
      </c>
      <c r="F18" s="2"/>
      <c r="G18" s="2"/>
      <c r="H18" s="2"/>
      <c r="I18" s="2"/>
      <c r="J18" s="2"/>
      <c r="K18" s="2"/>
      <c r="L18" s="2"/>
    </row>
    <row r="19" spans="1:12">
      <c r="A19" s="2" t="s">
        <v>120</v>
      </c>
      <c r="B19" s="2" t="s">
        <v>25</v>
      </c>
      <c r="C19" s="2">
        <v>13978</v>
      </c>
      <c r="D19" s="2">
        <v>5</v>
      </c>
      <c r="E19" s="2"/>
      <c r="F19" s="2"/>
      <c r="G19" s="2"/>
      <c r="H19" s="2"/>
      <c r="I19" s="2"/>
      <c r="J19" s="2"/>
      <c r="K19" s="2"/>
      <c r="L19" s="2"/>
    </row>
    <row r="20" spans="1:12">
      <c r="A20" s="2" t="s">
        <v>121</v>
      </c>
      <c r="B20" s="2" t="s">
        <v>35</v>
      </c>
      <c r="C20" s="2">
        <v>14994</v>
      </c>
      <c r="D20" s="2">
        <v>5</v>
      </c>
      <c r="E20" s="2"/>
      <c r="F20" s="2"/>
      <c r="G20" s="2"/>
      <c r="H20" s="2"/>
      <c r="I20" s="2"/>
      <c r="J20" s="2"/>
      <c r="K20" s="2"/>
      <c r="L20" s="2"/>
    </row>
    <row r="21" spans="1:12">
      <c r="A21" s="2" t="s">
        <v>122</v>
      </c>
      <c r="B21" s="2" t="s">
        <v>25</v>
      </c>
      <c r="C21" s="2">
        <v>15478</v>
      </c>
      <c r="D21" s="2">
        <v>5</v>
      </c>
      <c r="E21" s="2"/>
      <c r="F21" s="2"/>
      <c r="G21" s="2"/>
      <c r="H21" s="2"/>
      <c r="I21" s="2"/>
      <c r="J21" s="2"/>
      <c r="K21" s="2"/>
      <c r="L21" s="2"/>
    </row>
    <row r="22" spans="1:12">
      <c r="A22" s="2" t="s">
        <v>123</v>
      </c>
      <c r="B22" s="2" t="s">
        <v>41</v>
      </c>
      <c r="C22" s="2">
        <v>16160</v>
      </c>
      <c r="D22" s="2">
        <v>5</v>
      </c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124</v>
      </c>
      <c r="B23" s="2" t="s">
        <v>41</v>
      </c>
      <c r="C23" s="2">
        <v>17663</v>
      </c>
      <c r="D23" s="2">
        <v>5</v>
      </c>
      <c r="E23" s="2"/>
      <c r="F23" s="2"/>
      <c r="G23" s="2"/>
      <c r="H23" s="2"/>
      <c r="I23" s="2"/>
      <c r="J23" s="2"/>
      <c r="K23" s="2"/>
      <c r="L23" s="2"/>
    </row>
    <row r="24" spans="1:12">
      <c r="A24" s="2" t="s">
        <v>125</v>
      </c>
      <c r="B24" s="2" t="s">
        <v>35</v>
      </c>
      <c r="C24" s="2">
        <v>17692</v>
      </c>
      <c r="D24" s="2">
        <v>5</v>
      </c>
      <c r="E24" s="2"/>
      <c r="F24" s="2"/>
      <c r="G24" s="2"/>
      <c r="H24" s="2"/>
      <c r="I24" s="2"/>
      <c r="J24" s="2"/>
      <c r="K24" s="2"/>
      <c r="L24" s="2"/>
    </row>
    <row r="25" spans="1:12">
      <c r="A25" s="2" t="s">
        <v>126</v>
      </c>
      <c r="B25" s="2" t="s">
        <v>33</v>
      </c>
      <c r="C25" s="2">
        <v>20323</v>
      </c>
      <c r="D25" s="2">
        <v>5</v>
      </c>
      <c r="E25" s="2"/>
      <c r="F25" s="2"/>
      <c r="G25" s="2"/>
      <c r="H25" s="2"/>
      <c r="I25" s="2"/>
      <c r="J25" s="2"/>
      <c r="K25" s="2"/>
      <c r="L25" s="2"/>
    </row>
    <row r="26" spans="1:12">
      <c r="A26" t="s">
        <v>127</v>
      </c>
      <c r="B26" t="s">
        <v>56</v>
      </c>
      <c r="C26">
        <v>24161</v>
      </c>
      <c r="D26">
        <v>5</v>
      </c>
      <c r="E26" t="s">
        <v>128</v>
      </c>
      <c r="F26" s="2"/>
      <c r="G26" s="2"/>
      <c r="H26" s="2"/>
      <c r="I26" s="2"/>
      <c r="J26" s="2"/>
      <c r="K26" s="2"/>
      <c r="L26" s="2"/>
    </row>
    <row r="27" spans="1:12">
      <c r="A27" s="2" t="s">
        <v>129</v>
      </c>
      <c r="B27" s="2" t="s">
        <v>53</v>
      </c>
      <c r="C27" s="2">
        <v>24675</v>
      </c>
      <c r="D27" s="2">
        <v>5</v>
      </c>
      <c r="E27" s="2"/>
      <c r="F27" s="2"/>
      <c r="G27" s="2"/>
      <c r="H27" s="2"/>
      <c r="I27" s="2"/>
      <c r="J27" s="2"/>
      <c r="K27" s="2"/>
      <c r="L27" s="2"/>
    </row>
    <row r="28" spans="1:12">
      <c r="A28" s="2" t="s">
        <v>48</v>
      </c>
      <c r="B28" s="2" t="s">
        <v>49</v>
      </c>
      <c r="C28" s="2">
        <v>25329</v>
      </c>
      <c r="D28" s="2">
        <v>5</v>
      </c>
      <c r="E28" s="2"/>
      <c r="F28" s="2"/>
      <c r="G28" s="2"/>
      <c r="H28" s="2"/>
      <c r="I28" s="2"/>
      <c r="J28" s="2"/>
      <c r="K28" s="2"/>
      <c r="L28" s="2"/>
    </row>
    <row r="29" spans="1:12">
      <c r="A29" s="2" t="s">
        <v>66</v>
      </c>
      <c r="B29" s="2" t="s">
        <v>67</v>
      </c>
      <c r="C29" s="2">
        <v>25495</v>
      </c>
      <c r="D29" s="2">
        <v>5</v>
      </c>
      <c r="E29" s="2"/>
      <c r="F29" s="2"/>
      <c r="G29" s="2"/>
      <c r="H29" s="2"/>
      <c r="I29" s="2"/>
      <c r="J29" s="2"/>
      <c r="K29" s="2"/>
      <c r="L29" s="2"/>
    </row>
    <row r="30" spans="1:12">
      <c r="A30" s="2" t="s">
        <v>59</v>
      </c>
      <c r="B30" s="2" t="s">
        <v>60</v>
      </c>
      <c r="C30" s="2">
        <v>26060</v>
      </c>
      <c r="D30" s="2">
        <v>5</v>
      </c>
      <c r="E30" s="2" t="s">
        <v>61</v>
      </c>
    </row>
    <row r="31" spans="1:12">
      <c r="A31" s="2" t="s">
        <v>130</v>
      </c>
      <c r="B31" s="2" t="s">
        <v>96</v>
      </c>
      <c r="C31" s="2">
        <v>29356</v>
      </c>
      <c r="D31" s="2">
        <v>5</v>
      </c>
      <c r="E31" s="2"/>
    </row>
    <row r="32" spans="1:12">
      <c r="A32" s="2" t="s">
        <v>131</v>
      </c>
      <c r="B32" s="2" t="s">
        <v>64</v>
      </c>
      <c r="C32" s="2">
        <v>30081</v>
      </c>
      <c r="D32" s="2">
        <v>5</v>
      </c>
      <c r="E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F32E-B95D-45A1-8FCE-99FE326911BC}">
  <dimension ref="A1:G25"/>
  <sheetViews>
    <sheetView workbookViewId="0">
      <selection activeCell="I11" sqref="I11"/>
    </sheetView>
  </sheetViews>
  <sheetFormatPr defaultRowHeight="15"/>
  <cols>
    <col min="1" max="1" width="12" customWidth="1"/>
    <col min="2" max="2" width="16.7109375" customWidth="1"/>
    <col min="3" max="3" width="62.42578125" style="1" customWidth="1"/>
  </cols>
  <sheetData>
    <row r="1" spans="1:7">
      <c r="A1" s="2" t="s">
        <v>132</v>
      </c>
      <c r="B1" s="2" t="s">
        <v>133</v>
      </c>
      <c r="C1" s="3" t="s">
        <v>134</v>
      </c>
      <c r="D1" s="2">
        <v>2010</v>
      </c>
      <c r="E1" s="2">
        <v>2016</v>
      </c>
      <c r="F1" s="2">
        <v>2020</v>
      </c>
      <c r="G1" s="4" t="s">
        <v>135</v>
      </c>
    </row>
    <row r="2" spans="1:7" ht="30.75">
      <c r="A2" s="2">
        <v>1</v>
      </c>
      <c r="B2" s="2" t="s">
        <v>136</v>
      </c>
      <c r="C2" s="3" t="s">
        <v>137</v>
      </c>
      <c r="D2" s="2">
        <v>7</v>
      </c>
      <c r="E2" s="2">
        <v>0</v>
      </c>
      <c r="F2" s="2">
        <v>2</v>
      </c>
      <c r="G2" s="4">
        <v>9</v>
      </c>
    </row>
    <row r="3" spans="1:7" ht="30.75">
      <c r="A3" s="2">
        <v>2</v>
      </c>
      <c r="B3" s="2" t="s">
        <v>138</v>
      </c>
      <c r="C3" s="3" t="s">
        <v>139</v>
      </c>
      <c r="D3" s="2">
        <v>3</v>
      </c>
      <c r="E3" s="2">
        <v>8</v>
      </c>
      <c r="F3" s="2">
        <v>1</v>
      </c>
      <c r="G3" s="4">
        <v>12</v>
      </c>
    </row>
    <row r="4" spans="1:7" ht="30.75">
      <c r="A4" s="2">
        <v>3</v>
      </c>
      <c r="B4" s="2" t="s">
        <v>140</v>
      </c>
      <c r="C4" s="3" t="s">
        <v>141</v>
      </c>
      <c r="D4" s="2">
        <v>4</v>
      </c>
      <c r="E4" s="2">
        <v>9</v>
      </c>
      <c r="F4" s="2">
        <v>6</v>
      </c>
      <c r="G4" s="4">
        <v>24</v>
      </c>
    </row>
    <row r="5" spans="1:7" ht="30.75">
      <c r="A5" s="2">
        <v>4</v>
      </c>
      <c r="B5" s="2" t="s">
        <v>142</v>
      </c>
      <c r="C5" s="3" t="s">
        <v>143</v>
      </c>
      <c r="D5" s="2">
        <v>0</v>
      </c>
      <c r="E5" s="2">
        <v>0</v>
      </c>
      <c r="F5" s="2">
        <v>0</v>
      </c>
      <c r="G5" s="4">
        <f>SUM(D5:F5)</f>
        <v>0</v>
      </c>
    </row>
    <row r="6" spans="1:7">
      <c r="A6" s="2">
        <v>5</v>
      </c>
      <c r="B6" s="2" t="s">
        <v>144</v>
      </c>
      <c r="C6" s="3" t="s">
        <v>145</v>
      </c>
      <c r="D6" s="4">
        <v>35</v>
      </c>
      <c r="E6" s="4">
        <v>24</v>
      </c>
      <c r="F6" s="4">
        <v>35</v>
      </c>
      <c r="G6" s="4">
        <f>SUM(D6:F6)</f>
        <v>94</v>
      </c>
    </row>
    <row r="7" spans="1:7">
      <c r="A7" s="2" t="s">
        <v>146</v>
      </c>
      <c r="B7" s="2" t="s">
        <v>146</v>
      </c>
      <c r="C7" s="3" t="s">
        <v>147</v>
      </c>
      <c r="D7" s="2">
        <v>0</v>
      </c>
      <c r="E7" s="2">
        <v>3</v>
      </c>
      <c r="F7" s="2">
        <v>2</v>
      </c>
      <c r="G7" s="4">
        <v>5</v>
      </c>
    </row>
    <row r="8" spans="1:7">
      <c r="A8" s="2"/>
      <c r="B8" s="2"/>
      <c r="C8" s="3" t="s">
        <v>148</v>
      </c>
      <c r="D8" s="2">
        <f>SUM(D2:D7)</f>
        <v>49</v>
      </c>
      <c r="E8" s="2">
        <f>SUM(E2:E7)</f>
        <v>44</v>
      </c>
      <c r="F8" s="2">
        <f t="shared" ref="F8:G8" si="0">SUM(F2:F7)</f>
        <v>46</v>
      </c>
      <c r="G8" s="4">
        <f t="shared" si="0"/>
        <v>144</v>
      </c>
    </row>
    <row r="9" spans="1:7">
      <c r="A9" s="2"/>
      <c r="B9" s="2"/>
      <c r="C9" s="3"/>
      <c r="D9" s="2"/>
      <c r="E9" s="2"/>
      <c r="F9" s="2"/>
      <c r="G9" s="2"/>
    </row>
    <row r="10" spans="1:7">
      <c r="A10" s="2"/>
      <c r="B10" s="2"/>
      <c r="C10" s="3" t="s">
        <v>149</v>
      </c>
      <c r="D10" s="2">
        <f>G6/140</f>
        <v>0.67142857142857137</v>
      </c>
      <c r="F10" s="2"/>
      <c r="G10" s="2"/>
    </row>
    <row r="11" spans="1:7">
      <c r="A11" s="2"/>
      <c r="B11" s="2"/>
      <c r="C11" s="3" t="s">
        <v>150</v>
      </c>
      <c r="D11" s="2">
        <f>(G4+G3+G2)/G8</f>
        <v>0.3125</v>
      </c>
      <c r="F11" s="2"/>
      <c r="G11" s="2"/>
    </row>
    <row r="12" spans="1:7">
      <c r="A12" s="2"/>
      <c r="B12" s="2"/>
      <c r="C12" s="3" t="s">
        <v>151</v>
      </c>
      <c r="D12" s="2">
        <f>G6/G8</f>
        <v>0.65277777777777779</v>
      </c>
      <c r="F12" s="2"/>
      <c r="G12" s="2"/>
    </row>
    <row r="13" spans="1:7">
      <c r="A13" s="2"/>
      <c r="B13" s="2"/>
      <c r="C13" s="3" t="s">
        <v>152</v>
      </c>
      <c r="D13" s="2">
        <f>G7/G8</f>
        <v>3.4722222222222224E-2</v>
      </c>
      <c r="F13" s="2"/>
      <c r="G13" s="2"/>
    </row>
    <row r="14" spans="1:7">
      <c r="A14" s="2"/>
      <c r="B14" s="2"/>
      <c r="C14" s="3"/>
      <c r="D14" s="2"/>
      <c r="E14" s="2"/>
      <c r="F14" s="2"/>
      <c r="G14" s="2"/>
    </row>
    <row r="15" spans="1:7">
      <c r="A15" s="2"/>
      <c r="B15" s="2"/>
      <c r="C15" s="3"/>
      <c r="D15" s="2"/>
      <c r="E15" s="2"/>
      <c r="F15" s="2"/>
      <c r="G15" s="2"/>
    </row>
    <row r="16" spans="1:7">
      <c r="A16" s="2"/>
      <c r="B16" s="2"/>
      <c r="C16" s="3"/>
      <c r="D16" s="2"/>
      <c r="E16" s="2"/>
      <c r="F16" s="2"/>
      <c r="G16" s="2"/>
    </row>
    <row r="17" spans="1:7">
      <c r="A17" s="2"/>
      <c r="B17" s="2"/>
      <c r="C17" s="3"/>
      <c r="D17" s="2"/>
      <c r="E17" s="2"/>
      <c r="F17" s="2"/>
      <c r="G17" s="2"/>
    </row>
    <row r="18" spans="1:7">
      <c r="A18" s="2"/>
      <c r="B18" s="2"/>
      <c r="C18" s="3"/>
      <c r="D18" s="2"/>
      <c r="E18" s="2"/>
      <c r="F18" s="2"/>
      <c r="G18" s="2"/>
    </row>
    <row r="19" spans="1:7">
      <c r="A19" s="2"/>
      <c r="B19" s="2"/>
      <c r="C19" s="3"/>
      <c r="D19" s="2"/>
      <c r="E19" s="2"/>
      <c r="F19" s="2"/>
      <c r="G19" s="2"/>
    </row>
    <row r="20" spans="1:7">
      <c r="A20" s="2"/>
      <c r="B20" s="2"/>
      <c r="C20" s="3"/>
      <c r="D20" s="2"/>
      <c r="E20" s="2"/>
      <c r="F20" s="2"/>
      <c r="G20" s="2"/>
    </row>
    <row r="21" spans="1:7">
      <c r="A21" s="2"/>
      <c r="B21" s="2"/>
      <c r="C21" s="3"/>
      <c r="D21" s="2"/>
      <c r="E21" s="2"/>
      <c r="F21" s="2"/>
      <c r="G21" s="2"/>
    </row>
    <row r="22" spans="1:7">
      <c r="A22" s="2"/>
      <c r="B22" s="2"/>
      <c r="C22" s="3"/>
      <c r="D22" s="2"/>
      <c r="E22" s="2"/>
      <c r="F22" s="2"/>
      <c r="G22" s="2"/>
    </row>
    <row r="23" spans="1:7">
      <c r="A23" s="2"/>
      <c r="B23" s="2"/>
      <c r="C23" s="3"/>
      <c r="D23" s="2"/>
      <c r="E23" s="2"/>
      <c r="F23" s="2"/>
      <c r="G23" s="2"/>
    </row>
    <row r="24" spans="1:7">
      <c r="A24" s="2"/>
      <c r="B24" s="2"/>
      <c r="C24" s="3"/>
      <c r="D24" s="2"/>
      <c r="E24" s="2"/>
      <c r="F24" s="2"/>
      <c r="G24" s="2"/>
    </row>
    <row r="25" spans="1:7">
      <c r="A25" s="2"/>
      <c r="B25" s="2"/>
      <c r="C25" s="3"/>
      <c r="D25" s="2"/>
      <c r="E25" s="2"/>
      <c r="F25" s="2"/>
      <c r="G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Jaeger,Deidre</dc:creator>
  <cp:keywords/>
  <dc:description/>
  <cp:lastModifiedBy>Jaeger,Deidre</cp:lastModifiedBy>
  <cp:revision/>
  <dcterms:created xsi:type="dcterms:W3CDTF">2015-06-05T18:17:20Z</dcterms:created>
  <dcterms:modified xsi:type="dcterms:W3CDTF">2025-11-10T23:30:53Z</dcterms:modified>
  <cp:category/>
  <cp:contentStatus/>
</cp:coreProperties>
</file>